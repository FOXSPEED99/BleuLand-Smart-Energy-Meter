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CB parts" sheetId="1" state="visible" r:id="rId3"/>
    <sheet name="Off-board it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<sst xmlns="http://schemas.openxmlformats.org/spreadsheetml/2006/main" count="280" uniqueCount="245">
  <si>
    <t xml:space="preserve">Smart Energy Meter rev A: Bill of Materials</t>
  </si>
  <si>
    <t xml:space="preserve">Meters to build:</t>
  </si>
  <si>
    <t xml:space="preserve">← edit this number (yellow); "Qty to order" updates. Source: Energy-Meter.SchDoc, 4 Oct 2026.</t>
  </si>
  <si>
    <t xml:space="preserve">Line</t>
  </si>
  <si>
    <t xml:space="preserve">Designators</t>
  </si>
  <si>
    <t xml:space="preserve">Qty / meter</t>
  </si>
  <si>
    <t xml:space="preserve">Value</t>
  </si>
  <si>
    <t xml:space="preserve">Description</t>
  </si>
  <si>
    <t xml:space="preserve">Manufacturer</t>
  </si>
  <si>
    <t xml:space="preserve">Manufacturer Part Number</t>
  </si>
  <si>
    <t xml:space="preserve">Footprint</t>
  </si>
  <si>
    <t xml:space="preserve">Notes</t>
  </si>
  <si>
    <t xml:space="preserve">Qty to order</t>
  </si>
  <si>
    <t xml:space="preserve">BT1</t>
  </si>
  <si>
    <t xml:space="preserve">BATT holder</t>
  </si>
  <si>
    <t xml:space="preserve">BATTERY HOLDER COIN 20MM PC PIN</t>
  </si>
  <si>
    <t xml:space="preserve">MPD</t>
  </si>
  <si>
    <t xml:space="preserve">BH32T-C-G</t>
  </si>
  <si>
    <t xml:space="preserve">BAT_BH32T-C-G</t>
  </si>
  <si>
    <t xml:space="preserve">Holder only; CR2032 on Off-board sheet</t>
  </si>
  <si>
    <t xml:space="preserve">C1</t>
  </si>
  <si>
    <t xml:space="preserve">10 µF</t>
  </si>
  <si>
    <t xml:space="preserve">General Purpose Ceramic Capacitor, 1206, 10uF, 10%, X5R, 15%, 10V</t>
  </si>
  <si>
    <t xml:space="preserve">KYOCERA AVX</t>
  </si>
  <si>
    <t xml:space="preserve">1206ZD106KAT2A</t>
  </si>
  <si>
    <t xml:space="preserve">FP-1206-L_3_2_0_2-W_1_6_0-MFG</t>
  </si>
  <si>
    <t xml:space="preserve">C2, C6, C8</t>
  </si>
  <si>
    <t xml:space="preserve">100 nF</t>
  </si>
  <si>
    <t xml:space="preserve">CAP CER 0.1UF 25V X7R 1206</t>
  </si>
  <si>
    <t xml:space="preserve">KEMET</t>
  </si>
  <si>
    <t xml:space="preserve">C1206C104J3RACTU</t>
  </si>
  <si>
    <t xml:space="preserve">FP-C1206C-EB-MFG</t>
  </si>
  <si>
    <t xml:space="preserve">C3</t>
  </si>
  <si>
    <t xml:space="preserve">470uF</t>
  </si>
  <si>
    <t xml:space="preserve">Capacitor, aluminium electrolytic, 470 uF, 10 V, 20%, radial D8x11.5mm, 3.5mm pitch, laid down</t>
  </si>
  <si>
    <t xml:space="preserve">Rubycon</t>
  </si>
  <si>
    <t xml:space="preserve">10YXF470MEFC8X11.5</t>
  </si>
  <si>
    <t xml:space="preserve">CAPPRD350W60D800H1150_LAYDOWN</t>
  </si>
  <si>
    <t xml:space="preserve">Mounted lying flat under the ESP32</t>
  </si>
  <si>
    <t xml:space="preserve">C4</t>
  </si>
  <si>
    <t xml:space="preserve">AR 100nF Ceramic Multilayer Cap,50V dc,+125C,X7R Dielectric,+/-10%,Through Hole  AVX AR215C104K4R</t>
  </si>
  <si>
    <t xml:space="preserve">AVX</t>
  </si>
  <si>
    <t xml:space="preserve">AR215C104K4R</t>
  </si>
  <si>
    <t xml:space="preserve">CAPRR508W50L508T318H762</t>
  </si>
  <si>
    <t xml:space="preserve">C5</t>
  </si>
  <si>
    <t xml:space="preserve">0.1uF X2</t>
  </si>
  <si>
    <t xml:space="preserve">Capacitor 0.1uF +/-10%, 275 VAC class X2, MKP polypropylene film, 40/100/21, radial through hole, 15 mm pitch</t>
  </si>
  <si>
    <t xml:space="preserve">TDK</t>
  </si>
  <si>
    <t xml:space="preserve">B32922C3104K000</t>
  </si>
  <si>
    <t xml:space="preserve">CAPX2_L18.0-W6.0-H11.0_P15.00</t>
  </si>
  <si>
    <t xml:space="preserve">X2 safety cap, 305 VAC, 15 mm pitch</t>
  </si>
  <si>
    <t xml:space="preserve">C7</t>
  </si>
  <si>
    <t xml:space="preserve">Chip Multilayer Ceramic Capacitors for General Purpose, 1206, 10uF, X7R, 15%, 10%, 25V</t>
  </si>
  <si>
    <t xml:space="preserve">Murata</t>
  </si>
  <si>
    <t xml:space="preserve">GRM31CR71E106KA12L</t>
  </si>
  <si>
    <t xml:space="preserve">FP-GRM31C-0_2-e0_3_0_8-IPC_C</t>
  </si>
  <si>
    <t xml:space="preserve">C9, C10</t>
  </si>
  <si>
    <t xml:space="preserve">33 nF</t>
  </si>
  <si>
    <t xml:space="preserve">CAP 33nF 50V ±5% 1206 (3216 Metric) Thickness 1.7mm SMD</t>
  </si>
  <si>
    <t xml:space="preserve">GRM3195C1H333JA01D</t>
  </si>
  <si>
    <t xml:space="preserve">CAPC1206(3216)170_N</t>
  </si>
  <si>
    <t xml:space="preserve">C0G (stable filter cap)</t>
  </si>
  <si>
    <t xml:space="preserve">C11, C12</t>
  </si>
  <si>
    <t xml:space="preserve">10 nF</t>
  </si>
  <si>
    <t xml:space="preserve">CAP CER 1206 .01UF 25V X7R 5% AU</t>
  </si>
  <si>
    <t xml:space="preserve">C1206C103J3RACAUTO</t>
  </si>
  <si>
    <t xml:space="preserve">D1</t>
  </si>
  <si>
    <t xml:space="preserve">LED 3mm Blue</t>
  </si>
  <si>
    <t xml:space="preserve">LED, 3mm round, blue diffused, THT 2.54mm</t>
  </si>
  <si>
    <t xml:space="preserve">Kingbright</t>
  </si>
  <si>
    <t xml:space="preserve">WP710A10QBD/D</t>
  </si>
  <si>
    <t xml:space="preserve">LED_D3.0MM_P2.54_BLUE</t>
  </si>
  <si>
    <t xml:space="preserve">Blue, D1 only (active-low drive from 5 V)</t>
  </si>
  <si>
    <t xml:space="preserve">D2</t>
  </si>
  <si>
    <t xml:space="preserve">LED 3mm White</t>
  </si>
  <si>
    <t xml:space="preserve">LED, 3mm round, white diffused, THT 2.54mm</t>
  </si>
  <si>
    <t xml:space="preserve">L-7104QWC-D</t>
  </si>
  <si>
    <t xml:space="preserve">LED_D3.0MM_P2.54_WHITE</t>
  </si>
  <si>
    <t xml:space="preserve">White, D2 only (active-low drive from 5 V)</t>
  </si>
  <si>
    <t xml:space="preserve">D3, D4</t>
  </si>
  <si>
    <t xml:space="preserve">SMAJ5.0CA</t>
  </si>
  <si>
    <t xml:space="preserve">TVS DIODE 5V 9.2V SMA</t>
  </si>
  <si>
    <t xml:space="preserve">Bourns Inc.</t>
  </si>
  <si>
    <t xml:space="preserve">FP-SMAJ-MFG</t>
  </si>
  <si>
    <t xml:space="preserve">F1</t>
  </si>
  <si>
    <t xml:space="preserve">Holder 5x20 + T500mA 250V</t>
  </si>
  <si>
    <t xml:space="preserve">5mm Slim Line Fuse holder</t>
  </si>
  <si>
    <t xml:space="preserve">Keystone</t>
  </si>
  <si>
    <t xml:space="preserve">4628</t>
  </si>
  <si>
    <t xml:space="preserve">FUSE_4628</t>
  </si>
  <si>
    <t xml:space="preserve">Holder only; fuse insert on Off-board sheet</t>
  </si>
  <si>
    <t xml:space="preserve">FB1</t>
  </si>
  <si>
    <t xml:space="preserve">Ferrite Bead</t>
  </si>
  <si>
    <t xml:space="preserve">Chip Ferrite Bead, 1206, 600O @ 100MHz, 0.038O, 25%, 2.9A</t>
  </si>
  <si>
    <t xml:space="preserve">BLM31KN601SN1L</t>
  </si>
  <si>
    <t xml:space="preserve">FP-BLM31-0_2-T1_6-IPC_B</t>
  </si>
  <si>
    <t xml:space="preserve">IC1</t>
  </si>
  <si>
    <t xml:space="preserve">DS1307</t>
  </si>
  <si>
    <t xml:space="preserve">Real Time Clock (RTC) I²C, 56 B RAM, 8-DIP</t>
  </si>
  <si>
    <t xml:space="preserve">Analog Devices</t>
  </si>
  <si>
    <t xml:space="preserve">DS1307+</t>
  </si>
  <si>
    <t xml:space="preserve">DIP794W47P254L991H457Q8</t>
  </si>
  <si>
    <t xml:space="preserve">J1</t>
  </si>
  <si>
    <t xml:space="preserve">B2B-XH-A</t>
  </si>
  <si>
    <t xml:space="preserve">CONN HEADER VERT 2POS 2.5MM</t>
  </si>
  <si>
    <t xml:space="preserve">JST</t>
  </si>
  <si>
    <t xml:space="preserve">B2B-XH-AM(LF)(SN)</t>
  </si>
  <si>
    <t xml:space="preserve">FP-B2B-XH-AM_LF_SN-MFG</t>
  </si>
  <si>
    <t xml:space="preserve">CT connector on PCB</t>
  </si>
  <si>
    <t xml:space="preserve">L1</t>
  </si>
  <si>
    <t xml:space="preserve">744821110</t>
  </si>
  <si>
    <t xml:space="preserve">Wurth Elektronik</t>
  </si>
  <si>
    <t xml:space="preserve">WE-CMB_Type XS_L15W7.5H18</t>
  </si>
  <si>
    <t xml:space="preserve">Common-mode choke 10 mH</t>
  </si>
  <si>
    <t xml:space="preserve">P1</t>
  </si>
  <si>
    <t xml:space="preserve">Terminal Block</t>
  </si>
  <si>
    <t xml:space="preserve">PCB terminal block, 2 positions, 5.08 mm pitch, through hole</t>
  </si>
  <si>
    <t xml:space="preserve">TE Connectivity</t>
  </si>
  <si>
    <t xml:space="preserve">282837-2</t>
  </si>
  <si>
    <t xml:space="preserve">TE_282837-2</t>
  </si>
  <si>
    <t xml:space="preserve">PS1</t>
  </si>
  <si>
    <t xml:space="preserve">HLK-5M05</t>
  </si>
  <si>
    <t xml:space="preserve">AC DC 220V to 5V 5W 5Watt Isolated Switching Step-Down Power Supply Module Converter</t>
  </si>
  <si>
    <t xml:space="preserve">Hi-link</t>
  </si>
  <si>
    <t xml:space="preserve">CONV_HLK-5M05</t>
  </si>
  <si>
    <t xml:space="preserve">R1, R9</t>
  </si>
  <si>
    <t xml:space="preserve">330Ω</t>
  </si>
  <si>
    <t xml:space="preserve">RES SMD 330 OHM 5% 1W 2512</t>
  </si>
  <si>
    <t xml:space="preserve">Yageo</t>
  </si>
  <si>
    <t xml:space="preserve">AC2512JK-07330RL</t>
  </si>
  <si>
    <t xml:space="preserve">FP-AC2512-MFG</t>
  </si>
  <si>
    <t xml:space="preserve">R2, R3</t>
  </si>
  <si>
    <t xml:space="preserve">4.7kΩ</t>
  </si>
  <si>
    <t xml:space="preserve">RES SMD 4.7K OHM 1% 1W 2512</t>
  </si>
  <si>
    <t xml:space="preserve">AC2512FK-074K7L</t>
  </si>
  <si>
    <t xml:space="preserve">R4</t>
  </si>
  <si>
    <t xml:space="preserve">100Ω</t>
  </si>
  <si>
    <t xml:space="preserve">Res MC AT Precision Thin Film 1206 100O 0.1% 0.4W ±25ppm/°C Molded Paper T/R</t>
  </si>
  <si>
    <t xml:space="preserve">Vishay</t>
  </si>
  <si>
    <t xml:space="preserve">MCA1206MD1000BP100</t>
  </si>
  <si>
    <t xml:space="preserve">FP-MCA1206-IPC_A</t>
  </si>
  <si>
    <t xml:space="preserve">ZMPT101B burden, 0.1% 25 ppm (check packaging suffix when ordering)</t>
  </si>
  <si>
    <t xml:space="preserve">R5, R8, R10, R13</t>
  </si>
  <si>
    <t xml:space="preserve">47k</t>
  </si>
  <si>
    <t xml:space="preserve">Resistor, 47 kOhm, 1%, 0.25 W, metal film, axial THT, 7.62 mm pitch</t>
  </si>
  <si>
    <t xml:space="preserve">YAGEO</t>
  </si>
  <si>
    <t xml:space="preserve">MFR-25FRF52-47K</t>
  </si>
  <si>
    <t xml:space="preserve">RESAD762W55L630D240_MF</t>
  </si>
  <si>
    <t xml:space="preserve">Mains divider, metal film 1%</t>
  </si>
  <si>
    <t xml:space="preserve">R6</t>
  </si>
  <si>
    <t xml:space="preserve">2kΩ</t>
  </si>
  <si>
    <t xml:space="preserve">RES Thick Film, 2kO, 1%, 1W, 100ppm/°C, 2512</t>
  </si>
  <si>
    <t xml:space="preserve">CRCW25122K00FKEG</t>
  </si>
  <si>
    <t xml:space="preserve">FP-CRCW2512-E3-IPC_A</t>
  </si>
  <si>
    <t xml:space="preserve">R7</t>
  </si>
  <si>
    <t xml:space="preserve">0Ω</t>
  </si>
  <si>
    <t xml:space="preserve">0O ±0 1W 2512 Thick Film Chip Resistor AEC-Q200 compliant</t>
  </si>
  <si>
    <t xml:space="preserve">Stackpole</t>
  </si>
  <si>
    <t xml:space="preserve">RMCF2512ZT0R00</t>
  </si>
  <si>
    <t xml:space="preserve">FP-RMCF2512-IPC_A</t>
  </si>
  <si>
    <t xml:space="preserve">R11</t>
  </si>
  <si>
    <t xml:space="preserve">1kΩ</t>
  </si>
  <si>
    <t xml:space="preserve">RES Thick Film, 1kO, 1%, 1W, 100ppm/°C, 2512</t>
  </si>
  <si>
    <t xml:space="preserve">CRCW25121K00FKEH</t>
  </si>
  <si>
    <t xml:space="preserve">R12</t>
  </si>
  <si>
    <t xml:space="preserve">1kO ±1% 0.25W 1206 Thick Film Chip Resistor AEC-Q200 compliant</t>
  </si>
  <si>
    <t xml:space="preserve">RMCF1206FT1K00</t>
  </si>
  <si>
    <t xml:space="preserve">FP-RMCF1206-IPC_C</t>
  </si>
  <si>
    <t xml:space="preserve">R14</t>
  </si>
  <si>
    <t xml:space="preserve">0.5Ω</t>
  </si>
  <si>
    <t xml:space="preserve">Chip Resistor, 0.5 Ohm, +/- 1%, 1 W, -65 to 275 degC, 2512 (6432 Metric), RoHS, Tape and Reel</t>
  </si>
  <si>
    <t xml:space="preserve">WSLT2512R5000FEA</t>
  </si>
  <si>
    <t xml:space="preserve">RESC6432X89X76ML25T25</t>
  </si>
  <si>
    <t xml:space="preserve">CT burden, 0.5 Ω metal strip (100 A rating)</t>
  </si>
  <si>
    <t xml:space="preserve">R15, R17</t>
  </si>
  <si>
    <t xml:space="preserve">1.5kΩ</t>
  </si>
  <si>
    <t xml:space="preserve">RES Thick Film, 1.5kO, 1%, 1W, 100ppm/°C, 2512</t>
  </si>
  <si>
    <t xml:space="preserve">CRCW25121K50FKEG</t>
  </si>
  <si>
    <t xml:space="preserve">RV1</t>
  </si>
  <si>
    <t xml:space="preserve">MOV-10D561K</t>
  </si>
  <si>
    <t xml:space="preserve">560 V 2.5 kA Varistor 1 Circuit Through Hole Disc 10mm</t>
  </si>
  <si>
    <t xml:space="preserve">Bourns</t>
  </si>
  <si>
    <t xml:space="preserve">VAR_MOV-10D561K</t>
  </si>
  <si>
    <t xml:space="preserve">T1</t>
  </si>
  <si>
    <t xml:space="preserve">ZMPT101B</t>
  </si>
  <si>
    <t xml:space="preserve">Current-type Voltage Transformer</t>
  </si>
  <si>
    <t xml:space="preserve">Qingxian Zeming Langxi Electronic</t>
  </si>
  <si>
    <t xml:space="preserve">XFMR_ZMPT101B</t>
  </si>
  <si>
    <t xml:space="preserve">U1</t>
  </si>
  <si>
    <t xml:space="preserve">ESP32-DevKitC V4</t>
  </si>
  <si>
    <t xml:space="preserve">Espressif ESP32-DevKitC V4 (ESP32-WROOM-32E) dev board, socketed on 2x19 female headers</t>
  </si>
  <si>
    <t xml:space="preserve">Espressif Systems</t>
  </si>
  <si>
    <t xml:space="preserve">ESP32-DEVKITC-32E</t>
  </si>
  <si>
    <t xml:space="preserve">ESP32-DEVKITC-V4_SOCKET</t>
  </si>
  <si>
    <t xml:space="preserve">Plugs into 2 female headers (Off-board sheet)</t>
  </si>
  <si>
    <t xml:space="preserve">U2</t>
  </si>
  <si>
    <t xml:space="preserve">HLW8032</t>
  </si>
  <si>
    <t xml:space="preserve">High-precision single-phase energy metering IC, dual sigma-delta ADC, UART 4800bps, PF pulse output, 5V, SOP-8</t>
  </si>
  <si>
    <t xml:space="preserve">Hiliwei Tech</t>
  </si>
  <si>
    <t xml:space="preserve">SOIC127P600X175-8N</t>
  </si>
  <si>
    <t xml:space="preserve">LCSC C128023</t>
  </si>
  <si>
    <t xml:space="preserve">Y1</t>
  </si>
  <si>
    <t xml:space="preserve">32.768kHz</t>
  </si>
  <si>
    <t xml:space="preserve">Crystal 32.768 kHz, 12.5 pF, +/-20 ppm, tuning fork, 3 x 8 mm cylindrical can, through hole, vertical</t>
  </si>
  <si>
    <t xml:space="preserve">Abracon</t>
  </si>
  <si>
    <t xml:space="preserve">AB38T-32.768KHZ</t>
  </si>
  <si>
    <t xml:space="preserve">XTAL_D3.2XL8.3_P2.00_VERTICAL</t>
  </si>
  <si>
    <t xml:space="preserve">Total parts per meter</t>
  </si>
  <si>
    <t xml:space="preserve">Items you buy but do not solder as a schematic part</t>
  </si>
  <si>
    <t xml:space="preserve">Item</t>
  </si>
  <si>
    <t xml:space="preserve">Goes with</t>
  </si>
  <si>
    <t xml:space="preserve">Fuse 5×20 mm, T500 mA, 250 VAC, ceramic, time-lag</t>
  </si>
  <si>
    <t xml:space="preserve">Littelfuse</t>
  </si>
  <si>
    <t xml:space="preserve">0215.500MXP</t>
  </si>
  <si>
    <t xml:space="preserve">F1 holder</t>
  </si>
  <si>
    <t xml:space="preserve">HLK-5M05 datasheet value</t>
  </si>
  <si>
    <t xml:space="preserve">Lithium coin cell 3 V</t>
  </si>
  <si>
    <t xml:space="preserve">Panasonic</t>
  </si>
  <si>
    <t xml:space="preserve">CR2032</t>
  </si>
  <si>
    <t xml:space="preserve">BT1 holder</t>
  </si>
  <si>
    <t xml:space="preserve">RTC backup</t>
  </si>
  <si>
    <t xml:space="preserve">Split-core current transformer 100 A : 50 mA (current output, no internal burden)</t>
  </si>
  <si>
    <t xml:space="preserve">YHDC</t>
  </si>
  <si>
    <t xml:space="preserve">SCT-013-000</t>
  </si>
  <si>
    <t xml:space="preserve">Cut the 3.5 mm jack; crimp JST XH (tip wire → pin 2, sleeve wire → pin 1)</t>
  </si>
  <si>
    <t xml:space="preserve">Female header 1×19, 2.54 mm, 8.5 mm tall</t>
  </si>
  <si>
    <t xml:space="preserve">Sullins</t>
  </si>
  <si>
    <t xml:space="preserve">PPTC191LFBN-RC</t>
  </si>
  <si>
    <t xml:space="preserve">U1 (ESP32 DevKitC socket)</t>
  </si>
  <si>
    <t xml:space="preserve">Check height: DevKitC must sit ≥ 9 mm above board for C3</t>
  </si>
  <si>
    <t xml:space="preserve">JST XH housing, 2 pin</t>
  </si>
  <si>
    <t xml:space="preserve">XHP-2</t>
  </si>
  <si>
    <t xml:space="preserve">CT cable to J1</t>
  </si>
  <si>
    <t xml:space="preserve">JST XH crimp contact, 22–28 AWG</t>
  </si>
  <si>
    <t xml:space="preserve">SXH-001T-P0.6</t>
  </si>
  <si>
    <t xml:space="preserve">Order spares</t>
  </si>
  <si>
    <t xml:space="preserve">Bare PCB 75 × 75 mm, FR-4 1.6 mm, 2 layers, 1 oz, HASL</t>
  </si>
  <si>
    <t xml:space="preserve">(PCB maker)</t>
  </si>
  <si>
    <t xml:space="preserve">Energy-Meter rev A</t>
  </si>
  <si>
    <t xml:space="preserve">—</t>
  </si>
  <si>
    <t xml:space="preserve">Order after Round K (release files)</t>
  </si>
  <si>
    <t xml:space="preserve">DIN-rail enclosure</t>
  </si>
  <si>
    <t xml:space="preserve">TBD</t>
  </si>
  <si>
    <t xml:space="preserve">TBD (Round F)</t>
  </si>
  <si>
    <t xml:space="preserve">Chosen in Round 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</si>
</sst>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48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38"/>
    <col collapsed="false" customWidth="true" hidden="false" outlineLevel="0" max="10" min="10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n">
        <v>10</v>
      </c>
      <c r="D2" s="4" t="s">
        <v>2</v>
      </c>
    </row>
    <row r="4" customFormat="false" ht="23.8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 customFormat="false" ht="15" hidden="false" customHeight="false" outlineLevel="0" collapsed="false">
      <c r="A5" s="6" t="n">
        <v>1</v>
      </c>
      <c r="B5" s="6" t="s">
        <v>13</v>
      </c>
      <c r="C5" s="6" t="n">
        <v>1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n">
        <f aca="false">C5*$C$2</f>
        <v>10</v>
      </c>
    </row>
    <row r="6" customFormat="false" ht="23.85" hidden="false" customHeight="false" outlineLevel="0" collapsed="false">
      <c r="A6" s="6" t="n">
        <v>2</v>
      </c>
      <c r="B6" s="6" t="s">
        <v>20</v>
      </c>
      <c r="C6" s="6" t="n">
        <v>1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/>
      <c r="J6" s="6" t="n">
        <f aca="false">C6*$C$2</f>
        <v>10</v>
      </c>
    </row>
    <row r="7" customFormat="false" ht="15" hidden="false" customHeight="false" outlineLevel="0" collapsed="false">
      <c r="A7" s="6" t="n">
        <v>3</v>
      </c>
      <c r="B7" s="6" t="s">
        <v>26</v>
      </c>
      <c r="C7" s="6" t="n">
        <v>3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/>
      <c r="J7" s="6" t="n">
        <f aca="false">C7*$C$2</f>
        <v>30</v>
      </c>
    </row>
    <row r="8" customFormat="false" ht="23.85" hidden="false" customHeight="false" outlineLevel="0" collapsed="false">
      <c r="A8" s="6" t="n">
        <v>4</v>
      </c>
      <c r="B8" s="6" t="s">
        <v>32</v>
      </c>
      <c r="C8" s="6" t="n">
        <v>1</v>
      </c>
      <c r="D8" s="6" t="s">
        <v>33</v>
      </c>
      <c r="E8" s="6" t="s">
        <v>34</v>
      </c>
      <c r="F8" s="6" t="s">
        <v>35</v>
      </c>
      <c r="G8" s="6" t="s">
        <v>36</v>
      </c>
      <c r="H8" s="6" t="s">
        <v>37</v>
      </c>
      <c r="I8" s="6" t="s">
        <v>38</v>
      </c>
      <c r="J8" s="6" t="n">
        <f aca="false">C8*$C$2</f>
        <v>10</v>
      </c>
    </row>
    <row r="9" customFormat="false" ht="23.85" hidden="false" customHeight="false" outlineLevel="0" collapsed="false">
      <c r="A9" s="6" t="n">
        <v>5</v>
      </c>
      <c r="B9" s="6" t="s">
        <v>39</v>
      </c>
      <c r="C9" s="6" t="n">
        <v>1</v>
      </c>
      <c r="D9" s="6" t="s">
        <v>27</v>
      </c>
      <c r="E9" s="6" t="s">
        <v>40</v>
      </c>
      <c r="F9" s="6" t="s">
        <v>41</v>
      </c>
      <c r="G9" s="6" t="s">
        <v>42</v>
      </c>
      <c r="H9" s="6" t="s">
        <v>43</v>
      </c>
      <c r="I9" s="6"/>
      <c r="J9" s="6" t="n">
        <f aca="false">C9*$C$2</f>
        <v>10</v>
      </c>
    </row>
    <row r="10" customFormat="false" ht="35.05" hidden="false" customHeight="false" outlineLevel="0" collapsed="false">
      <c r="A10" s="6" t="n">
        <v>6</v>
      </c>
      <c r="B10" s="6" t="s">
        <v>44</v>
      </c>
      <c r="C10" s="6" t="n">
        <v>1</v>
      </c>
      <c r="D10" s="6" t="s">
        <v>45</v>
      </c>
      <c r="E10" s="6" t="s">
        <v>46</v>
      </c>
      <c r="F10" s="6" t="s">
        <v>47</v>
      </c>
      <c r="G10" s="6" t="s">
        <v>48</v>
      </c>
      <c r="H10" s="6" t="s">
        <v>49</v>
      </c>
      <c r="I10" s="6" t="s">
        <v>50</v>
      </c>
      <c r="J10" s="6" t="n">
        <f aca="false">C10*$C$2</f>
        <v>10</v>
      </c>
    </row>
    <row r="11" customFormat="false" ht="23.85" hidden="false" customHeight="false" outlineLevel="0" collapsed="false">
      <c r="A11" s="6" t="n">
        <v>7</v>
      </c>
      <c r="B11" s="6" t="s">
        <v>51</v>
      </c>
      <c r="C11" s="6" t="n">
        <v>1</v>
      </c>
      <c r="D11" s="6" t="s">
        <v>21</v>
      </c>
      <c r="E11" s="6" t="s">
        <v>52</v>
      </c>
      <c r="F11" s="6" t="s">
        <v>53</v>
      </c>
      <c r="G11" s="6" t="s">
        <v>54</v>
      </c>
      <c r="H11" s="6" t="s">
        <v>55</v>
      </c>
      <c r="I11" s="6"/>
      <c r="J11" s="6" t="n">
        <f aca="false">C11*$C$2</f>
        <v>10</v>
      </c>
    </row>
    <row r="12" customFormat="false" ht="23.85" hidden="false" customHeight="false" outlineLevel="0" collapsed="false">
      <c r="A12" s="6" t="n">
        <v>8</v>
      </c>
      <c r="B12" s="6" t="s">
        <v>56</v>
      </c>
      <c r="C12" s="6" t="n">
        <v>2</v>
      </c>
      <c r="D12" s="6" t="s">
        <v>57</v>
      </c>
      <c r="E12" s="6" t="s">
        <v>58</v>
      </c>
      <c r="F12" s="6" t="s">
        <v>53</v>
      </c>
      <c r="G12" s="6" t="s">
        <v>59</v>
      </c>
      <c r="H12" s="6" t="s">
        <v>60</v>
      </c>
      <c r="I12" s="6" t="s">
        <v>61</v>
      </c>
      <c r="J12" s="6" t="n">
        <f aca="false">C12*$C$2</f>
        <v>20</v>
      </c>
    </row>
    <row r="13" customFormat="false" ht="15" hidden="false" customHeight="false" outlineLevel="0" collapsed="false">
      <c r="A13" s="6" t="n">
        <v>9</v>
      </c>
      <c r="B13" s="6" t="s">
        <v>62</v>
      </c>
      <c r="C13" s="6" t="n">
        <v>2</v>
      </c>
      <c r="D13" s="6" t="s">
        <v>63</v>
      </c>
      <c r="E13" s="6" t="s">
        <v>64</v>
      </c>
      <c r="F13" s="6" t="s">
        <v>29</v>
      </c>
      <c r="G13" s="6" t="s">
        <v>65</v>
      </c>
      <c r="H13" s="6" t="s">
        <v>31</v>
      </c>
      <c r="I13" s="6"/>
      <c r="J13" s="6" t="n">
        <f aca="false">C13*$C$2</f>
        <v>20</v>
      </c>
    </row>
    <row r="14" customFormat="false" ht="15" hidden="false" customHeight="false" outlineLevel="0" collapsed="false">
      <c r="A14" s="6" t="n">
        <v>10</v>
      </c>
      <c r="B14" s="6" t="s">
        <v>66</v>
      </c>
      <c r="C14" s="6" t="n">
        <v>1</v>
      </c>
      <c r="D14" s="6" t="s">
        <v>67</v>
      </c>
      <c r="E14" s="6" t="s">
        <v>68</v>
      </c>
      <c r="F14" s="6" t="s">
        <v>69</v>
      </c>
      <c r="G14" s="6" t="s">
        <v>70</v>
      </c>
      <c r="H14" s="6" t="s">
        <v>71</v>
      </c>
      <c r="I14" s="6" t="s">
        <v>72</v>
      </c>
      <c r="J14" s="6" t="n">
        <f aca="false">C14*$C$2</f>
        <v>10</v>
      </c>
    </row>
    <row r="15" customFormat="false" ht="15" hidden="false" customHeight="false" outlineLevel="0" collapsed="false">
      <c r="A15" s="6" t="n">
        <v>11</v>
      </c>
      <c r="B15" s="6" t="s">
        <v>73</v>
      </c>
      <c r="C15" s="6" t="n">
        <v>1</v>
      </c>
      <c r="D15" s="6" t="s">
        <v>74</v>
      </c>
      <c r="E15" s="6" t="s">
        <v>75</v>
      </c>
      <c r="F15" s="6" t="s">
        <v>69</v>
      </c>
      <c r="G15" s="6" t="s">
        <v>76</v>
      </c>
      <c r="H15" s="6" t="s">
        <v>77</v>
      </c>
      <c r="I15" s="6" t="s">
        <v>78</v>
      </c>
      <c r="J15" s="6" t="n">
        <f aca="false">C15*$C$2</f>
        <v>10</v>
      </c>
    </row>
    <row r="16" customFormat="false" ht="15" hidden="false" customHeight="false" outlineLevel="0" collapsed="false">
      <c r="A16" s="6" t="n">
        <v>12</v>
      </c>
      <c r="B16" s="6" t="s">
        <v>79</v>
      </c>
      <c r="C16" s="6" t="n">
        <v>2</v>
      </c>
      <c r="D16" s="6" t="s">
        <v>80</v>
      </c>
      <c r="E16" s="6" t="s">
        <v>81</v>
      </c>
      <c r="F16" s="6" t="s">
        <v>82</v>
      </c>
      <c r="G16" s="6" t="s">
        <v>80</v>
      </c>
      <c r="H16" s="6" t="s">
        <v>83</v>
      </c>
      <c r="I16" s="6"/>
      <c r="J16" s="6" t="n">
        <f aca="false">C16*$C$2</f>
        <v>20</v>
      </c>
    </row>
    <row r="17" customFormat="false" ht="23.85" hidden="false" customHeight="false" outlineLevel="0" collapsed="false">
      <c r="A17" s="6" t="n">
        <v>13</v>
      </c>
      <c r="B17" s="6" t="s">
        <v>84</v>
      </c>
      <c r="C17" s="6" t="n">
        <v>1</v>
      </c>
      <c r="D17" s="6" t="s">
        <v>85</v>
      </c>
      <c r="E17" s="6" t="s">
        <v>86</v>
      </c>
      <c r="F17" s="6" t="s">
        <v>87</v>
      </c>
      <c r="G17" s="6" t="s">
        <v>88</v>
      </c>
      <c r="H17" s="6" t="s">
        <v>89</v>
      </c>
      <c r="I17" s="6" t="s">
        <v>90</v>
      </c>
      <c r="J17" s="6" t="n">
        <f aca="false">C17*$C$2</f>
        <v>10</v>
      </c>
    </row>
    <row r="18" customFormat="false" ht="23.85" hidden="false" customHeight="false" outlineLevel="0" collapsed="false">
      <c r="A18" s="6" t="n">
        <v>14</v>
      </c>
      <c r="B18" s="6" t="s">
        <v>91</v>
      </c>
      <c r="C18" s="6" t="n">
        <v>1</v>
      </c>
      <c r="D18" s="6" t="s">
        <v>92</v>
      </c>
      <c r="E18" s="6" t="s">
        <v>93</v>
      </c>
      <c r="F18" s="6" t="s">
        <v>53</v>
      </c>
      <c r="G18" s="6" t="s">
        <v>94</v>
      </c>
      <c r="H18" s="6" t="s">
        <v>95</v>
      </c>
      <c r="I18" s="6"/>
      <c r="J18" s="6" t="n">
        <f aca="false">C18*$C$2</f>
        <v>10</v>
      </c>
    </row>
    <row r="19" customFormat="false" ht="15" hidden="false" customHeight="false" outlineLevel="0" collapsed="false">
      <c r="A19" s="6" t="n">
        <v>15</v>
      </c>
      <c r="B19" s="6" t="s">
        <v>96</v>
      </c>
      <c r="C19" s="6" t="n">
        <v>1</v>
      </c>
      <c r="D19" s="6" t="s">
        <v>97</v>
      </c>
      <c r="E19" s="6" t="s">
        <v>98</v>
      </c>
      <c r="F19" s="6" t="s">
        <v>99</v>
      </c>
      <c r="G19" s="6" t="s">
        <v>100</v>
      </c>
      <c r="H19" s="6" t="s">
        <v>101</v>
      </c>
      <c r="I19" s="6"/>
      <c r="J19" s="6" t="n">
        <f aca="false">C19*$C$2</f>
        <v>10</v>
      </c>
    </row>
    <row r="20" customFormat="false" ht="15" hidden="false" customHeight="false" outlineLevel="0" collapsed="false">
      <c r="A20" s="6" t="n">
        <v>16</v>
      </c>
      <c r="B20" s="6" t="s">
        <v>102</v>
      </c>
      <c r="C20" s="6" t="n">
        <v>1</v>
      </c>
      <c r="D20" s="6" t="s">
        <v>103</v>
      </c>
      <c r="E20" s="6" t="s">
        <v>104</v>
      </c>
      <c r="F20" s="6" t="s">
        <v>105</v>
      </c>
      <c r="G20" s="6" t="s">
        <v>106</v>
      </c>
      <c r="H20" s="6" t="s">
        <v>107</v>
      </c>
      <c r="I20" s="6" t="s">
        <v>108</v>
      </c>
      <c r="J20" s="6" t="n">
        <f aca="false">C20*$C$2</f>
        <v>10</v>
      </c>
    </row>
    <row r="21" customFormat="false" ht="15" hidden="false" customHeight="false" outlineLevel="0" collapsed="false">
      <c r="A21" s="6" t="n">
        <v>17</v>
      </c>
      <c r="B21" s="6" t="s">
        <v>109</v>
      </c>
      <c r="C21" s="6" t="n">
        <v>1</v>
      </c>
      <c r="D21" s="6" t="s">
        <v>110</v>
      </c>
      <c r="E21" s="6"/>
      <c r="F21" s="6" t="s">
        <v>111</v>
      </c>
      <c r="G21" s="6" t="s">
        <v>110</v>
      </c>
      <c r="H21" s="6" t="s">
        <v>112</v>
      </c>
      <c r="I21" s="6" t="s">
        <v>113</v>
      </c>
      <c r="J21" s="6" t="n">
        <f aca="false">C21*$C$2</f>
        <v>10</v>
      </c>
    </row>
    <row r="22" customFormat="false" ht="23.85" hidden="false" customHeight="false" outlineLevel="0" collapsed="false">
      <c r="A22" s="6" t="n">
        <v>18</v>
      </c>
      <c r="B22" s="6" t="s">
        <v>114</v>
      </c>
      <c r="C22" s="6" t="n">
        <v>1</v>
      </c>
      <c r="D22" s="6" t="s">
        <v>115</v>
      </c>
      <c r="E22" s="6" t="s">
        <v>116</v>
      </c>
      <c r="F22" s="6" t="s">
        <v>117</v>
      </c>
      <c r="G22" s="6" t="s">
        <v>118</v>
      </c>
      <c r="H22" s="6" t="s">
        <v>119</v>
      </c>
      <c r="I22" s="6"/>
      <c r="J22" s="6" t="n">
        <f aca="false">C22*$C$2</f>
        <v>10</v>
      </c>
    </row>
    <row r="23" customFormat="false" ht="23.85" hidden="false" customHeight="false" outlineLevel="0" collapsed="false">
      <c r="A23" s="6" t="n">
        <v>19</v>
      </c>
      <c r="B23" s="6" t="s">
        <v>120</v>
      </c>
      <c r="C23" s="6" t="n">
        <v>1</v>
      </c>
      <c r="D23" s="6" t="s">
        <v>121</v>
      </c>
      <c r="E23" s="6" t="s">
        <v>122</v>
      </c>
      <c r="F23" s="6" t="s">
        <v>123</v>
      </c>
      <c r="G23" s="6" t="s">
        <v>121</v>
      </c>
      <c r="H23" s="6" t="s">
        <v>124</v>
      </c>
      <c r="I23" s="6"/>
      <c r="J23" s="6" t="n">
        <f aca="false">C23*$C$2</f>
        <v>10</v>
      </c>
    </row>
    <row r="24" customFormat="false" ht="15" hidden="false" customHeight="false" outlineLevel="0" collapsed="false">
      <c r="A24" s="6" t="n">
        <v>20</v>
      </c>
      <c r="B24" s="6" t="s">
        <v>125</v>
      </c>
      <c r="C24" s="6" t="n">
        <v>2</v>
      </c>
      <c r="D24" s="6" t="s">
        <v>126</v>
      </c>
      <c r="E24" s="6" t="s">
        <v>127</v>
      </c>
      <c r="F24" s="6" t="s">
        <v>128</v>
      </c>
      <c r="G24" s="6" t="s">
        <v>129</v>
      </c>
      <c r="H24" s="6" t="s">
        <v>130</v>
      </c>
      <c r="I24" s="6"/>
      <c r="J24" s="6" t="n">
        <f aca="false">C24*$C$2</f>
        <v>20</v>
      </c>
    </row>
    <row r="25" customFormat="false" ht="15" hidden="false" customHeight="false" outlineLevel="0" collapsed="false">
      <c r="A25" s="6" t="n">
        <v>21</v>
      </c>
      <c r="B25" s="6" t="s">
        <v>131</v>
      </c>
      <c r="C25" s="6" t="n">
        <v>2</v>
      </c>
      <c r="D25" s="6" t="s">
        <v>132</v>
      </c>
      <c r="E25" s="6" t="s">
        <v>133</v>
      </c>
      <c r="F25" s="6" t="s">
        <v>128</v>
      </c>
      <c r="G25" s="6" t="s">
        <v>134</v>
      </c>
      <c r="H25" s="6" t="s">
        <v>130</v>
      </c>
      <c r="I25" s="6"/>
      <c r="J25" s="6" t="n">
        <f aca="false">C25*$C$2</f>
        <v>20</v>
      </c>
    </row>
    <row r="26" customFormat="false" ht="23.85" hidden="false" customHeight="false" outlineLevel="0" collapsed="false">
      <c r="A26" s="6" t="n">
        <v>22</v>
      </c>
      <c r="B26" s="6" t="s">
        <v>135</v>
      </c>
      <c r="C26" s="6" t="n">
        <v>1</v>
      </c>
      <c r="D26" s="6" t="s">
        <v>136</v>
      </c>
      <c r="E26" s="6" t="s">
        <v>137</v>
      </c>
      <c r="F26" s="6" t="s">
        <v>138</v>
      </c>
      <c r="G26" s="6" t="s">
        <v>139</v>
      </c>
      <c r="H26" s="6" t="s">
        <v>140</v>
      </c>
      <c r="I26" s="6" t="s">
        <v>141</v>
      </c>
      <c r="J26" s="6" t="n">
        <f aca="false">C26*$C$2</f>
        <v>10</v>
      </c>
    </row>
    <row r="27" customFormat="false" ht="23.85" hidden="false" customHeight="false" outlineLevel="0" collapsed="false">
      <c r="A27" s="6" t="n">
        <v>23</v>
      </c>
      <c r="B27" s="6" t="s">
        <v>142</v>
      </c>
      <c r="C27" s="6" t="n">
        <v>4</v>
      </c>
      <c r="D27" s="6" t="s">
        <v>143</v>
      </c>
      <c r="E27" s="6" t="s">
        <v>144</v>
      </c>
      <c r="F27" s="6" t="s">
        <v>145</v>
      </c>
      <c r="G27" s="6" t="s">
        <v>146</v>
      </c>
      <c r="H27" s="6" t="s">
        <v>147</v>
      </c>
      <c r="I27" s="6" t="s">
        <v>148</v>
      </c>
      <c r="J27" s="6" t="n">
        <f aca="false">C27*$C$2</f>
        <v>40</v>
      </c>
    </row>
    <row r="28" customFormat="false" ht="15" hidden="false" customHeight="false" outlineLevel="0" collapsed="false">
      <c r="A28" s="6" t="n">
        <v>24</v>
      </c>
      <c r="B28" s="6" t="s">
        <v>149</v>
      </c>
      <c r="C28" s="6" t="n">
        <v>1</v>
      </c>
      <c r="D28" s="6" t="s">
        <v>150</v>
      </c>
      <c r="E28" s="6" t="s">
        <v>151</v>
      </c>
      <c r="F28" s="6" t="s">
        <v>138</v>
      </c>
      <c r="G28" s="6" t="s">
        <v>152</v>
      </c>
      <c r="H28" s="6" t="s">
        <v>153</v>
      </c>
      <c r="I28" s="6"/>
      <c r="J28" s="6" t="n">
        <f aca="false">C28*$C$2</f>
        <v>10</v>
      </c>
    </row>
    <row r="29" customFormat="false" ht="23.85" hidden="false" customHeight="false" outlineLevel="0" collapsed="false">
      <c r="A29" s="6" t="n">
        <v>25</v>
      </c>
      <c r="B29" s="6" t="s">
        <v>154</v>
      </c>
      <c r="C29" s="6" t="n">
        <v>1</v>
      </c>
      <c r="D29" s="6" t="s">
        <v>155</v>
      </c>
      <c r="E29" s="6" t="s">
        <v>156</v>
      </c>
      <c r="F29" s="6" t="s">
        <v>157</v>
      </c>
      <c r="G29" s="6" t="s">
        <v>158</v>
      </c>
      <c r="H29" s="6" t="s">
        <v>159</v>
      </c>
      <c r="I29" s="6"/>
      <c r="J29" s="6" t="n">
        <f aca="false">C29*$C$2</f>
        <v>10</v>
      </c>
    </row>
    <row r="30" customFormat="false" ht="15" hidden="false" customHeight="false" outlineLevel="0" collapsed="false">
      <c r="A30" s="6" t="n">
        <v>26</v>
      </c>
      <c r="B30" s="6" t="s">
        <v>160</v>
      </c>
      <c r="C30" s="6" t="n">
        <v>1</v>
      </c>
      <c r="D30" s="6" t="s">
        <v>161</v>
      </c>
      <c r="E30" s="6" t="s">
        <v>162</v>
      </c>
      <c r="F30" s="6" t="s">
        <v>138</v>
      </c>
      <c r="G30" s="6" t="s">
        <v>163</v>
      </c>
      <c r="H30" s="6" t="s">
        <v>153</v>
      </c>
      <c r="I30" s="6"/>
      <c r="J30" s="6" t="n">
        <f aca="false">C30*$C$2</f>
        <v>10</v>
      </c>
    </row>
    <row r="31" customFormat="false" ht="23.85" hidden="false" customHeight="false" outlineLevel="0" collapsed="false">
      <c r="A31" s="6" t="n">
        <v>27</v>
      </c>
      <c r="B31" s="6" t="s">
        <v>164</v>
      </c>
      <c r="C31" s="6" t="n">
        <v>1</v>
      </c>
      <c r="D31" s="6" t="s">
        <v>161</v>
      </c>
      <c r="E31" s="6" t="s">
        <v>165</v>
      </c>
      <c r="F31" s="6" t="s">
        <v>157</v>
      </c>
      <c r="G31" s="6" t="s">
        <v>166</v>
      </c>
      <c r="H31" s="6" t="s">
        <v>167</v>
      </c>
      <c r="I31" s="6"/>
      <c r="J31" s="6" t="n">
        <f aca="false">C31*$C$2</f>
        <v>10</v>
      </c>
    </row>
    <row r="32" customFormat="false" ht="23.85" hidden="false" customHeight="false" outlineLevel="0" collapsed="false">
      <c r="A32" s="6" t="n">
        <v>28</v>
      </c>
      <c r="B32" s="6" t="s">
        <v>168</v>
      </c>
      <c r="C32" s="6" t="n">
        <v>1</v>
      </c>
      <c r="D32" s="6" t="s">
        <v>169</v>
      </c>
      <c r="E32" s="6" t="s">
        <v>170</v>
      </c>
      <c r="F32" s="6" t="s">
        <v>138</v>
      </c>
      <c r="G32" s="6" t="s">
        <v>171</v>
      </c>
      <c r="H32" s="6" t="s">
        <v>172</v>
      </c>
      <c r="I32" s="6" t="s">
        <v>173</v>
      </c>
      <c r="J32" s="6" t="n">
        <f aca="false">C32*$C$2</f>
        <v>10</v>
      </c>
    </row>
    <row r="33" customFormat="false" ht="15" hidden="false" customHeight="false" outlineLevel="0" collapsed="false">
      <c r="A33" s="6" t="n">
        <v>29</v>
      </c>
      <c r="B33" s="6" t="s">
        <v>174</v>
      </c>
      <c r="C33" s="6" t="n">
        <v>2</v>
      </c>
      <c r="D33" s="6" t="s">
        <v>175</v>
      </c>
      <c r="E33" s="6" t="s">
        <v>176</v>
      </c>
      <c r="F33" s="6" t="s">
        <v>138</v>
      </c>
      <c r="G33" s="6" t="s">
        <v>177</v>
      </c>
      <c r="H33" s="6" t="s">
        <v>153</v>
      </c>
      <c r="I33" s="6"/>
      <c r="J33" s="6" t="n">
        <f aca="false">C33*$C$2</f>
        <v>20</v>
      </c>
    </row>
    <row r="34" customFormat="false" ht="15" hidden="false" customHeight="false" outlineLevel="0" collapsed="false">
      <c r="A34" s="6" t="n">
        <v>30</v>
      </c>
      <c r="B34" s="6" t="s">
        <v>178</v>
      </c>
      <c r="C34" s="6" t="n">
        <v>1</v>
      </c>
      <c r="D34" s="6" t="s">
        <v>179</v>
      </c>
      <c r="E34" s="6" t="s">
        <v>180</v>
      </c>
      <c r="F34" s="6" t="s">
        <v>181</v>
      </c>
      <c r="G34" s="6" t="s">
        <v>179</v>
      </c>
      <c r="H34" s="6" t="s">
        <v>182</v>
      </c>
      <c r="I34" s="6"/>
      <c r="J34" s="6" t="n">
        <f aca="false">C34*$C$2</f>
        <v>10</v>
      </c>
    </row>
    <row r="35" customFormat="false" ht="23.85" hidden="false" customHeight="false" outlineLevel="0" collapsed="false">
      <c r="A35" s="6" t="n">
        <v>31</v>
      </c>
      <c r="B35" s="6" t="s">
        <v>183</v>
      </c>
      <c r="C35" s="6" t="n">
        <v>1</v>
      </c>
      <c r="D35" s="6" t="s">
        <v>184</v>
      </c>
      <c r="E35" s="6" t="s">
        <v>185</v>
      </c>
      <c r="F35" s="6" t="s">
        <v>186</v>
      </c>
      <c r="G35" s="6" t="s">
        <v>184</v>
      </c>
      <c r="H35" s="6" t="s">
        <v>187</v>
      </c>
      <c r="I35" s="6"/>
      <c r="J35" s="6" t="n">
        <f aca="false">C35*$C$2</f>
        <v>10</v>
      </c>
    </row>
    <row r="36" customFormat="false" ht="23.85" hidden="false" customHeight="false" outlineLevel="0" collapsed="false">
      <c r="A36" s="6" t="n">
        <v>32</v>
      </c>
      <c r="B36" s="6" t="s">
        <v>188</v>
      </c>
      <c r="C36" s="6" t="n">
        <v>1</v>
      </c>
      <c r="D36" s="6" t="s">
        <v>189</v>
      </c>
      <c r="E36" s="6" t="s">
        <v>190</v>
      </c>
      <c r="F36" s="6" t="s">
        <v>191</v>
      </c>
      <c r="G36" s="6" t="s">
        <v>192</v>
      </c>
      <c r="H36" s="6" t="s">
        <v>193</v>
      </c>
      <c r="I36" s="6" t="s">
        <v>194</v>
      </c>
      <c r="J36" s="6" t="n">
        <f aca="false">C36*$C$2</f>
        <v>10</v>
      </c>
    </row>
    <row r="37" customFormat="false" ht="35.05" hidden="false" customHeight="false" outlineLevel="0" collapsed="false">
      <c r="A37" s="6" t="n">
        <v>33</v>
      </c>
      <c r="B37" s="6" t="s">
        <v>195</v>
      </c>
      <c r="C37" s="6" t="n">
        <v>1</v>
      </c>
      <c r="D37" s="6" t="s">
        <v>196</v>
      </c>
      <c r="E37" s="6" t="s">
        <v>197</v>
      </c>
      <c r="F37" s="6" t="s">
        <v>198</v>
      </c>
      <c r="G37" s="6" t="s">
        <v>196</v>
      </c>
      <c r="H37" s="6" t="s">
        <v>199</v>
      </c>
      <c r="I37" s="6" t="s">
        <v>200</v>
      </c>
      <c r="J37" s="6" t="n">
        <f aca="false">C37*$C$2</f>
        <v>10</v>
      </c>
    </row>
    <row r="38" customFormat="false" ht="23.85" hidden="false" customHeight="false" outlineLevel="0" collapsed="false">
      <c r="A38" s="6" t="n">
        <v>34</v>
      </c>
      <c r="B38" s="6" t="s">
        <v>201</v>
      </c>
      <c r="C38" s="6" t="n">
        <v>1</v>
      </c>
      <c r="D38" s="6" t="s">
        <v>202</v>
      </c>
      <c r="E38" s="6" t="s">
        <v>203</v>
      </c>
      <c r="F38" s="6" t="s">
        <v>204</v>
      </c>
      <c r="G38" s="6" t="s">
        <v>205</v>
      </c>
      <c r="H38" s="6" t="s">
        <v>206</v>
      </c>
      <c r="I38" s="6"/>
      <c r="J38" s="6" t="n">
        <f aca="false">C38*$C$2</f>
        <v>10</v>
      </c>
    </row>
    <row r="39" customFormat="false" ht="15" hidden="false" customHeight="false" outlineLevel="0" collapsed="false">
      <c r="B39" s="2" t="s">
        <v>207</v>
      </c>
      <c r="C39" s="2" t="n">
        <f aca="false">SUM(C5:C38)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44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1</v>
      </c>
      <c r="C2" s="7" t="n">
        <f aca="false">'PCB parts'!C2</f>
        <v>10</v>
      </c>
    </row>
    <row r="4" customFormat="false" ht="23.85" hidden="false" customHeight="false" outlineLevel="0" collapsed="false">
      <c r="A4" s="8" t="s">
        <v>3</v>
      </c>
      <c r="B4" s="8" t="s">
        <v>209</v>
      </c>
      <c r="C4" s="8" t="s">
        <v>5</v>
      </c>
      <c r="D4" s="8" t="s">
        <v>8</v>
      </c>
      <c r="E4" s="8" t="s">
        <v>9</v>
      </c>
      <c r="F4" s="8" t="s">
        <v>210</v>
      </c>
      <c r="G4" s="8" t="s">
        <v>11</v>
      </c>
      <c r="H4" s="8" t="s">
        <v>12</v>
      </c>
    </row>
    <row r="5" customFormat="false" ht="15" hidden="false" customHeight="false" outlineLevel="0" collapsed="false">
      <c r="A5" s="6" t="n">
        <v>1</v>
      </c>
      <c r="B5" s="6" t="s">
        <v>211</v>
      </c>
      <c r="C5" s="6" t="n">
        <v>1</v>
      </c>
      <c r="D5" s="6" t="s">
        <v>212</v>
      </c>
      <c r="E5" s="6" t="s">
        <v>213</v>
      </c>
      <c r="F5" s="6" t="s">
        <v>214</v>
      </c>
      <c r="G5" s="6" t="s">
        <v>215</v>
      </c>
      <c r="H5" s="6" t="n">
        <f aca="false">C5*$C$2</f>
        <v>10</v>
      </c>
    </row>
    <row r="6" customFormat="false" ht="15" hidden="false" customHeight="false" outlineLevel="0" collapsed="false">
      <c r="A6" s="6" t="n">
        <v>2</v>
      </c>
      <c r="B6" s="6" t="s">
        <v>216</v>
      </c>
      <c r="C6" s="6" t="n">
        <v>1</v>
      </c>
      <c r="D6" s="6" t="s">
        <v>217</v>
      </c>
      <c r="E6" s="6" t="s">
        <v>218</v>
      </c>
      <c r="F6" s="6" t="s">
        <v>219</v>
      </c>
      <c r="G6" s="6" t="s">
        <v>220</v>
      </c>
      <c r="H6" s="6" t="n">
        <f aca="false">C6*$C$2</f>
        <v>10</v>
      </c>
    </row>
    <row r="7" customFormat="false" ht="23.85" hidden="false" customHeight="false" outlineLevel="0" collapsed="false">
      <c r="A7" s="6" t="n">
        <v>3</v>
      </c>
      <c r="B7" s="6" t="s">
        <v>221</v>
      </c>
      <c r="C7" s="6" t="n">
        <v>1</v>
      </c>
      <c r="D7" s="6" t="s">
        <v>222</v>
      </c>
      <c r="E7" s="6" t="s">
        <v>223</v>
      </c>
      <c r="F7" s="6" t="s">
        <v>102</v>
      </c>
      <c r="G7" s="6" t="s">
        <v>224</v>
      </c>
      <c r="H7" s="6" t="n">
        <f aca="false">C7*$C$2</f>
        <v>10</v>
      </c>
    </row>
    <row r="8" customFormat="false" ht="23.85" hidden="false" customHeight="false" outlineLevel="0" collapsed="false">
      <c r="A8" s="6" t="n">
        <v>4</v>
      </c>
      <c r="B8" s="6" t="s">
        <v>225</v>
      </c>
      <c r="C8" s="6" t="n">
        <v>2</v>
      </c>
      <c r="D8" s="6" t="s">
        <v>226</v>
      </c>
      <c r="E8" s="6" t="s">
        <v>227</v>
      </c>
      <c r="F8" s="6" t="s">
        <v>228</v>
      </c>
      <c r="G8" s="6" t="s">
        <v>229</v>
      </c>
      <c r="H8" s="6" t="n">
        <f aca="false">C8*$C$2</f>
        <v>20</v>
      </c>
    </row>
    <row r="9" customFormat="false" ht="15" hidden="false" customHeight="false" outlineLevel="0" collapsed="false">
      <c r="A9" s="6" t="n">
        <v>5</v>
      </c>
      <c r="B9" s="6" t="s">
        <v>230</v>
      </c>
      <c r="C9" s="6" t="n">
        <v>1</v>
      </c>
      <c r="D9" s="6" t="s">
        <v>105</v>
      </c>
      <c r="E9" s="6" t="s">
        <v>231</v>
      </c>
      <c r="F9" s="6" t="s">
        <v>232</v>
      </c>
      <c r="G9" s="6"/>
      <c r="H9" s="6" t="n">
        <f aca="false">C9*$C$2</f>
        <v>10</v>
      </c>
    </row>
    <row r="10" customFormat="false" ht="15" hidden="false" customHeight="false" outlineLevel="0" collapsed="false">
      <c r="A10" s="6" t="n">
        <v>6</v>
      </c>
      <c r="B10" s="6" t="s">
        <v>233</v>
      </c>
      <c r="C10" s="6" t="n">
        <v>2</v>
      </c>
      <c r="D10" s="6" t="s">
        <v>105</v>
      </c>
      <c r="E10" s="6" t="s">
        <v>234</v>
      </c>
      <c r="F10" s="6" t="s">
        <v>232</v>
      </c>
      <c r="G10" s="6" t="s">
        <v>235</v>
      </c>
      <c r="H10" s="6" t="n">
        <f aca="false">C10*$C$2</f>
        <v>20</v>
      </c>
    </row>
    <row r="11" customFormat="false" ht="23.85" hidden="false" customHeight="false" outlineLevel="0" collapsed="false">
      <c r="A11" s="6" t="n">
        <v>7</v>
      </c>
      <c r="B11" s="6" t="s">
        <v>236</v>
      </c>
      <c r="C11" s="6" t="n">
        <v>1</v>
      </c>
      <c r="D11" s="6" t="s">
        <v>237</v>
      </c>
      <c r="E11" s="6" t="s">
        <v>238</v>
      </c>
      <c r="F11" s="6" t="s">
        <v>239</v>
      </c>
      <c r="G11" s="6" t="s">
        <v>240</v>
      </c>
      <c r="H11" s="6" t="n">
        <f aca="false">C11*$C$2</f>
        <v>10</v>
      </c>
    </row>
    <row r="12" customFormat="false" ht="15" hidden="false" customHeight="false" outlineLevel="0" collapsed="false">
      <c r="A12" s="6" t="n">
        <v>8</v>
      </c>
      <c r="B12" s="6" t="s">
        <v>241</v>
      </c>
      <c r="C12" s="6" t="n">
        <v>1</v>
      </c>
      <c r="D12" s="6" t="s">
        <v>242</v>
      </c>
      <c r="E12" s="6" t="s">
        <v>243</v>
      </c>
      <c r="F12" s="6" t="s">
        <v>239</v>
      </c>
      <c r="G12" s="6" t="s">
        <v>244</v>
      </c>
      <c r="H12" s="6" t="n">
        <f aca="false">C12*$C$2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2026-10-04T12:52:52Z</dcterms:created>
  <dc:creator>openpyxl</dc:creator>
  <dc:description/>
  <dc:language>en-US</dc:language>
  <cp:lastModifiedBy/>
  <dcterms:modified xsi:type="dcterms:W3CDTF">2026-10-04T12:52:52Z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